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PS Completion" sheetId="2" state="visible" r:id="rId2"/>
    <sheet name="Team &amp; Work Split" sheetId="3" state="visible" r:id="rId3"/>
    <sheet name="Milestones" sheetId="4" state="visible" r:id="rId4"/>
    <sheet name="Daily Reports" sheetId="5" state="visible" r:id="rId5"/>
    <sheet name="Deviations" sheetId="6" state="visible" r:id="rId6"/>
    <sheet name="Prior Art" sheetId="7" state="visible" r:id="rId7"/>
    <sheet name="Risk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PS Number</t>
        </is>
      </c>
      <c r="B2" t="inlineStr">
        <is>
          <t>SIH26153</t>
        </is>
      </c>
    </row>
    <row r="3">
      <c r="A3" t="inlineStr">
        <is>
          <t>Title</t>
        </is>
      </c>
      <c r="B3" t="inlineStr">
        <is>
          <t>AI based Network Attack Forecasting from Network Traffic Data</t>
        </is>
      </c>
    </row>
    <row r="4">
      <c r="A4" t="inlineStr">
        <is>
          <t>Organisation</t>
        </is>
      </c>
      <c r="B4" t="inlineStr">
        <is>
          <t>National Technical Research Organisation (NTRO)</t>
        </is>
      </c>
    </row>
    <row r="5">
      <c r="A5" t="inlineStr">
        <is>
          <t>Category / Theme</t>
        </is>
      </c>
      <c r="B5" t="inlineStr">
        <is>
          <t>Software / Blockchain &amp; Cybersecurity</t>
        </is>
      </c>
    </row>
    <row r="6">
      <c r="A6" t="inlineStr">
        <is>
          <t>Idea submission deadline</t>
        </is>
      </c>
      <c r="B6" t="inlineStr">
        <is>
          <t>2026-09-20</t>
        </is>
      </c>
    </row>
    <row r="7">
      <c r="A7" t="inlineStr">
        <is>
          <t>Team working cutoff</t>
        </is>
      </c>
      <c r="B7" t="inlineStr">
        <is>
          <t>2026-09-19</t>
        </is>
      </c>
    </row>
    <row r="8">
      <c r="A8" t="inlineStr">
        <is>
          <t>Days left to deadline</t>
        </is>
      </c>
      <c r="B8">
        <f>DATE(2026,9,20)-TODAY()</f>
        <v/>
      </c>
    </row>
    <row r="9">
      <c r="A9" t="inlineStr">
        <is>
          <t>Repo</t>
        </is>
      </c>
      <c r="B9" t="inlineStr">
        <is>
          <t>github.com/harishvidyarthcsecs/network-attack-forecasting (private)</t>
        </is>
      </c>
    </row>
    <row r="10">
      <c r="A10" t="inlineStr">
        <is>
          <t>Public code link (E1)</t>
        </is>
      </c>
      <c r="B10" t="inlineStr">
        <is>
          <t>TBD — Sujitha</t>
        </is>
      </c>
    </row>
    <row r="11">
      <c r="A11" t="inlineStr">
        <is>
          <t>Demo video link (E4)</t>
        </is>
      </c>
      <c r="B11" t="inlineStr">
        <is>
          <t>TBD — Sujitha</t>
        </is>
      </c>
    </row>
    <row r="12">
      <c r="A12" t="inlineStr">
        <is>
          <t>Slides link (E5)</t>
        </is>
      </c>
      <c r="B12" t="inlineStr">
        <is>
          <t>TBD — Sujitha</t>
        </is>
      </c>
    </row>
    <row r="13">
      <c r="A13" t="inlineStr">
        <is>
          <t>Tracker owner / PM</t>
        </is>
      </c>
      <c r="B13" t="inlineStr">
        <is>
          <t>Kaviya V</t>
        </is>
      </c>
    </row>
    <row r="14">
      <c r="A14" t="inlineStr">
        <is>
          <t>Current core completion %</t>
        </is>
      </c>
      <c r="B14">
        <f>'PS Completion'!B2</f>
        <v/>
      </c>
    </row>
    <row r="15">
      <c r="A15" t="inlineStr">
        <is>
          <t>USP 1</t>
        </is>
      </c>
      <c r="B15" t="inlineStr">
        <is>
          <t>Production-grade MLOps spine (release gate, drift, shadow retrain, honest negatives)</t>
        </is>
      </c>
    </row>
    <row r="16">
      <c r="A16" t="inlineStr">
        <is>
          <t>USP 2</t>
        </is>
      </c>
      <c r="B16" t="inlineStr">
        <is>
          <t>4 real dataset adapters + published cross-dataset generalisation evidence</t>
        </is>
      </c>
    </row>
    <row r="17">
      <c r="A17" t="inlineStr">
        <is>
          <t>USP 3</t>
        </is>
      </c>
      <c r="B17" t="inlineStr">
        <is>
          <t>End-to-end defender workflow: forecast -&gt; MITRE stage -&gt; attention+SHAP -&gt; STIX-lite alert + SOC 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/>
      <c r="D1" t="inlineStr"/>
      <c r="E1" t="inlineStr"/>
      <c r="F1" t="inlineStr"/>
      <c r="G1" t="inlineStr"/>
      <c r="H1" t="inlineStr"/>
    </row>
    <row r="2">
      <c r="A2" t="inlineStr">
        <is>
          <t>Weighted core completion %</t>
        </is>
      </c>
      <c r="B2">
        <f>ROUND(SUMPRODUCT(D6:D12,E6:E12)/SUM(D6:D12),0)</f>
        <v/>
      </c>
      <c r="C2" t="inlineStr"/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>
        <is>
          <t>Core requirements (R1-R7)</t>
        </is>
      </c>
      <c r="B4" t="inlineStr"/>
      <c r="C4" t="inlineStr"/>
      <c r="D4" t="inlineStr"/>
      <c r="E4" t="inlineStr"/>
      <c r="F4" t="inlineStr"/>
      <c r="G4" t="inlineStr"/>
      <c r="H4" t="inlineStr"/>
    </row>
    <row r="5">
      <c r="A5" t="inlineStr">
        <is>
          <t>ID</t>
        </is>
      </c>
      <c r="B5" t="inlineStr">
        <is>
          <t>Requirement</t>
        </is>
      </c>
      <c r="C5" t="inlineStr">
        <is>
          <t>Owner</t>
        </is>
      </c>
      <c r="D5" t="inlineStr">
        <is>
          <t>Weight</t>
        </is>
      </c>
      <c r="E5" t="inlineStr">
        <is>
          <t>% done</t>
        </is>
      </c>
      <c r="F5" t="inlineStr">
        <is>
          <t>Weighted</t>
        </is>
      </c>
      <c r="G5" t="inlineStr">
        <is>
          <t>Evidence</t>
        </is>
      </c>
      <c r="H5" t="inlineStr">
        <is>
          <t>Notes</t>
        </is>
      </c>
    </row>
    <row r="6">
      <c r="A6" t="inlineStr">
        <is>
          <t>R1</t>
        </is>
      </c>
      <c r="B6" t="inlineStr">
        <is>
          <t>Feature pipeline: flow CSV + packet/PCAP -&gt; normalised matrix</t>
        </is>
      </c>
      <c r="C6" t="inlineStr">
        <is>
          <t>Jayakumar</t>
        </is>
      </c>
      <c r="D6" t="inlineStr">
        <is>
          <t>20</t>
        </is>
      </c>
      <c r="E6" t="inlineStr">
        <is>
          <t>60</t>
        </is>
      </c>
      <c r="F6">
        <f>D6*E6/100</f>
        <v/>
      </c>
      <c r="G6" t="inlineStr">
        <is>
          <t>windows.parquet; packet_features.py</t>
        </is>
      </c>
      <c r="H6" t="inlineStr">
        <is>
          <t>packet path trained only on DARPA-98; canonical v2 untrained (D1)</t>
        </is>
      </c>
    </row>
    <row r="7">
      <c r="A7" t="inlineStr">
        <is>
          <t>R2</t>
        </is>
      </c>
      <c r="B7" t="inlineStr">
        <is>
          <t>Trained world model (dynamics, not classifier) + scripts + weights + config</t>
        </is>
      </c>
      <c r="C7" t="inlineStr">
        <is>
          <t>Harish</t>
        </is>
      </c>
      <c r="D7" t="inlineStr">
        <is>
          <t>25</t>
        </is>
      </c>
      <c r="E7" t="inlineStr">
        <is>
          <t>75</t>
        </is>
      </c>
      <c r="F7">
        <f>D7*E7/100</f>
        <v/>
      </c>
      <c r="G7" t="inlineStr">
        <is>
          <t>lstm_weights.pt; train.py; config.yaml</t>
        </is>
      </c>
      <c r="H7" t="inlineStr">
        <is>
          <t>release_gate.passed=false (D4)</t>
        </is>
      </c>
    </row>
    <row r="8">
      <c r="A8" t="inlineStr">
        <is>
          <t>R3</t>
        </is>
      </c>
      <c r="B8" t="inlineStr">
        <is>
          <t>Supervised dynamics learning; generalises to unseen attacks</t>
        </is>
      </c>
      <c r="C8" t="inlineStr">
        <is>
          <t>Archana</t>
        </is>
      </c>
      <c r="D8" t="inlineStr">
        <is>
          <t>15</t>
        </is>
      </c>
      <c r="E8" t="inlineStr">
        <is>
          <t>45</t>
        </is>
      </c>
      <c r="F8">
        <f>D8*E8/100</f>
        <v/>
      </c>
      <c r="G8" t="inlineStr">
        <is>
          <t>CTU-13 cross-dataset run</t>
        </is>
      </c>
      <c r="H8" t="inlineStr">
        <is>
          <t>LSTM 0.51 &lt; baseline 0.63 macro-F1 (D3)</t>
        </is>
      </c>
    </row>
    <row r="9">
      <c r="A9" t="inlineStr">
        <is>
          <t>R4</t>
        </is>
      </c>
      <c r="B9" t="inlineStr">
        <is>
          <t>Infiltration engine: K-step sim -&gt; prob timeline + MITRE stage + top features</t>
        </is>
      </c>
      <c r="C9" t="inlineStr">
        <is>
          <t>Archana</t>
        </is>
      </c>
      <c r="D9" t="inlineStr">
        <is>
          <t>15</t>
        </is>
      </c>
      <c r="E9" t="inlineStr">
        <is>
          <t>80</t>
        </is>
      </c>
      <c r="F9">
        <f>D9*E9/100</f>
        <v/>
      </c>
      <c r="G9" t="inlineStr">
        <is>
          <t>rollout() K=5; mitre.py; attention+SHAP</t>
        </is>
      </c>
      <c r="H9" t="inlineStr">
        <is>
          <t>4 stages only, no Reconnaissance (D2)</t>
        </is>
      </c>
    </row>
    <row r="10">
      <c r="A10" t="inlineStr">
        <is>
          <t>R5</t>
        </is>
      </c>
      <c r="B10" t="inlineStr">
        <is>
          <t>Explainability per prediction (SHAP or attention), not black-box</t>
        </is>
      </c>
      <c r="C10" t="inlineStr">
        <is>
          <t>Archana</t>
        </is>
      </c>
      <c r="D10" t="inlineStr">
        <is>
          <t>8</t>
        </is>
      </c>
      <c r="E10" t="inlineStr">
        <is>
          <t>90</t>
        </is>
      </c>
      <c r="F10">
        <f>D10*E10/100</f>
        <v/>
      </c>
      <c r="G10" t="inlineStr">
        <is>
          <t>attention weights + shap.LinearExplainer</t>
        </is>
      </c>
      <c r="H10" t="inlineStr">
        <is>
          <t>SHAP on LogReg proxy (documented)</t>
        </is>
      </c>
    </row>
    <row r="11">
      <c r="A11" t="inlineStr">
        <is>
          <t>R6</t>
        </is>
      </c>
      <c r="B11" t="inlineStr">
        <is>
          <t>Offline demo (Streamlit/Flask/CLI), PCAP or CSV, timeline+flags+stage</t>
        </is>
      </c>
      <c r="C11" t="inlineStr">
        <is>
          <t>Kaviya</t>
        </is>
      </c>
      <c r="D11" t="inlineStr">
        <is>
          <t>10</t>
        </is>
      </c>
      <c r="E11" t="inlineStr">
        <is>
          <t>70</t>
        </is>
      </c>
      <c r="F11">
        <f>D11*E11/100</f>
        <v/>
      </c>
      <c r="G11" t="inlineStr">
        <is>
          <t>app/app.py; app/api.py; cli.py</t>
        </is>
      </c>
      <c r="H11" t="inlineStr">
        <is>
          <t>PCAP input -&gt; readiness failure (D1)</t>
        </is>
      </c>
    </row>
    <row r="12">
      <c r="A12" t="inlineStr">
        <is>
          <t>R7</t>
        </is>
      </c>
      <c r="B12" t="inlineStr">
        <is>
          <t>Benchmark vs logistic-regression baseline (F1/P/R/FPR)</t>
        </is>
      </c>
      <c r="C12" t="inlineStr">
        <is>
          <t>Harish</t>
        </is>
      </c>
      <c r="D12" t="inlineStr">
        <is>
          <t>7</t>
        </is>
      </c>
      <c r="E12" t="inlineStr">
        <is>
          <t>80</t>
        </is>
      </c>
      <c r="F12">
        <f>D12*E12/100</f>
        <v/>
      </c>
      <c r="G12" t="inlineStr">
        <is>
          <t>docs/SUBMISSION.md benchmark table</t>
        </is>
      </c>
      <c r="H12" t="inlineStr">
        <is>
          <t>reconcile with failing release gate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</row>
    <row r="14">
      <c r="A14" t="inlineStr">
        <is>
          <t>Deliverable packaging (E1-E5) — tracked, not in the core rollup</t>
        </is>
      </c>
      <c r="B14" t="inlineStr"/>
      <c r="C14" t="inlineStr"/>
      <c r="D14" t="inlineStr"/>
      <c r="E14" t="inlineStr"/>
      <c r="F14" t="inlineStr"/>
      <c r="G14" t="inlineStr"/>
      <c r="H14" t="inlineStr"/>
    </row>
    <row r="15">
      <c r="A15" t="inlineStr">
        <is>
          <t>E1</t>
        </is>
      </c>
      <c r="B15" t="inlineStr">
        <is>
          <t>Source code link (GitHub/Drive)</t>
        </is>
      </c>
      <c r="C15" t="inlineStr">
        <is>
          <t>Sujitha</t>
        </is>
      </c>
      <c r="D15" t="inlineStr"/>
      <c r="E15" t="inlineStr">
        <is>
          <t>40</t>
        </is>
      </c>
      <c r="F15" t="inlineStr"/>
      <c r="G15" t="inlineStr">
        <is>
          <t>repo private</t>
        </is>
      </c>
      <c r="H15" t="inlineStr">
        <is>
          <t>make public / Drive zip (D5)</t>
        </is>
      </c>
    </row>
    <row r="16">
      <c r="A16" t="inlineStr">
        <is>
          <t>E2</t>
        </is>
      </c>
      <c r="B16" t="inlineStr">
        <is>
          <t>README with setup</t>
        </is>
      </c>
      <c r="C16" t="inlineStr">
        <is>
          <t>Sujitha</t>
        </is>
      </c>
      <c r="D16" t="inlineStr"/>
      <c r="E16" t="inlineStr">
        <is>
          <t>95</t>
        </is>
      </c>
      <c r="F16" t="inlineStr"/>
      <c r="G16" t="inlineStr">
        <is>
          <t>README.md; README-OPS.md; DEMO_RUNBOOK.md</t>
        </is>
      </c>
      <c r="H16" t="inlineStr">
        <is>
          <t>polish pass</t>
        </is>
      </c>
    </row>
    <row r="17">
      <c r="A17" t="inlineStr">
        <is>
          <t>E3</t>
        </is>
      </c>
      <c r="B17" t="inlineStr">
        <is>
          <t>Architecture doc (max 2 pages)</t>
        </is>
      </c>
      <c r="C17" t="inlineStr">
        <is>
          <t>Archana</t>
        </is>
      </c>
      <c r="D17" t="inlineStr"/>
      <c r="E17" t="inlineStr">
        <is>
          <t>85</t>
        </is>
      </c>
      <c r="F17" t="inlineStr"/>
      <c r="G17" t="inlineStr">
        <is>
          <t>docs/ARCHITECTURE_NOTE.md</t>
        </is>
      </c>
      <c r="H17" t="inlineStr">
        <is>
          <t>trim to 2 pp; single state story (D6)</t>
        </is>
      </c>
    </row>
    <row r="18">
      <c r="A18" t="inlineStr">
        <is>
          <t>E4</t>
        </is>
      </c>
      <c r="B18" t="inlineStr">
        <is>
          <t>Demo video (max 2 min)</t>
        </is>
      </c>
      <c r="C18" t="inlineStr">
        <is>
          <t>Sujitha</t>
        </is>
      </c>
      <c r="D18" t="inlineStr"/>
      <c r="E18" t="inlineStr">
        <is>
          <t>45</t>
        </is>
      </c>
      <c r="F18" t="inlineStr"/>
      <c r="G18" t="inlineStr">
        <is>
          <t>docs/DEMO_VIDEO_SCRIPT.md</t>
        </is>
      </c>
      <c r="H18" t="inlineStr">
        <is>
          <t>recording unverified</t>
        </is>
      </c>
    </row>
    <row r="19">
      <c r="A19" t="inlineStr">
        <is>
          <t>E5</t>
        </is>
      </c>
      <c r="B19" t="inlineStr">
        <is>
          <t>Technical presentation (max 5 slides)</t>
        </is>
      </c>
      <c r="C19" t="inlineStr">
        <is>
          <t>Sujitha</t>
        </is>
      </c>
      <c r="D19" t="inlineStr"/>
      <c r="E19" t="inlineStr">
        <is>
          <t>55</t>
        </is>
      </c>
      <c r="F19" t="inlineStr"/>
      <c r="G19" t="inlineStr">
        <is>
          <t>docs/SLIDES.md</t>
        </is>
      </c>
      <c r="H19" t="inlineStr">
        <is>
          <t>deck unverified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Member</t>
        </is>
      </c>
      <c r="B1" t="inlineStr">
        <is>
          <t>Role</t>
        </is>
      </c>
      <c r="C1" t="inlineStr">
        <is>
          <t>Skills</t>
        </is>
      </c>
      <c r="D1" t="inlineStr">
        <is>
          <t>GitHub</t>
        </is>
      </c>
      <c r="E1" t="inlineStr">
        <is>
          <t>Owns (R# / D#)</t>
        </is>
      </c>
      <c r="F1" t="inlineStr">
        <is>
          <t>Contribution summary</t>
        </is>
      </c>
    </row>
    <row r="2">
      <c r="A2" t="inlineStr">
        <is>
          <t>Harish Vidyarth N</t>
        </is>
      </c>
      <c r="B2" t="inlineStr">
        <is>
          <t>Development — model &amp; forecast core</t>
        </is>
      </c>
      <c r="C2" t="inlineStr">
        <is>
          <t>ML / PyTorch; repo admin</t>
        </is>
      </c>
      <c r="D2" t="inlineStr">
        <is>
          <t>harishvidyarth</t>
        </is>
      </c>
      <c r="E2" t="inlineStr">
        <is>
          <t>R2, R7, D4, D5, E1</t>
        </is>
      </c>
      <c r="F2" t="inlineStr">
        <is>
          <t>dual-head LSTM + K-step rollout; leakage-safe splits + per-class recall + retrain to a passing release gate (D4); LogReg benchmark (R7); CI, branch protection, release tag; make repo public / Drive code link (E1, D5); submit on the portal; mentors Manjari on the attack side</t>
        </is>
      </c>
    </row>
    <row r="3">
      <c r="A3" t="inlineStr">
        <is>
          <t>Kaviya V</t>
        </is>
      </c>
      <c r="B3" t="inlineStr">
        <is>
          <t>Development — platform core + PM</t>
        </is>
      </c>
      <c r="C3" t="inlineStr">
        <is>
          <t>AI prototype development; Team Lead</t>
        </is>
      </c>
      <c r="D3" t="inlineStr">
        <is>
          <t>kaviya (branch)</t>
        </is>
      </c>
      <c r="E3" t="inlineStr">
        <is>
          <t>R6, E2</t>
        </is>
      </c>
      <c r="F3" t="inlineStr">
        <is>
          <t>FastAPI backend + no-build SOC UI; docker compose one-command demo; PCAP/CSV upload; STIX-lite alert + SOC PDF wiring (R6); README + setup instructions (E2); owns Milestones tab + daily-report enforcement</t>
        </is>
      </c>
    </row>
    <row r="4">
      <c r="A4" t="inlineStr">
        <is>
          <t>Jayakumar</t>
        </is>
      </c>
      <c r="B4" t="inlineStr">
        <is>
          <t>Prototype — data &amp; packet path</t>
        </is>
      </c>
      <c r="C4" t="inlineStr">
        <is>
          <t>Linux networking</t>
        </is>
      </c>
      <c r="D4" t="inlineStr">
        <is>
          <t>jayakumar-hacker</t>
        </is>
      </c>
      <c r="E4" t="inlineStr">
        <is>
          <t>R1, D1, D2</t>
        </is>
      </c>
      <c r="F4" t="inlineStr">
        <is>
          <t>CIC-IDS2018 + CTU-13 ingestion, 30s windowing, weak MITRE labels (R1); Scapy/PyShark packet features into a trained fused model (D1); Reconnaissance weak-label rule (D2); wires the end-to-end demo prototype</t>
        </is>
      </c>
    </row>
    <row r="5">
      <c r="A5" t="inlineStr">
        <is>
          <t>Archana D</t>
        </is>
      </c>
      <c r="B5" t="inlineStr">
        <is>
          <t>Prototype — explainability &amp; evaluation</t>
        </is>
      </c>
      <c r="C5" t="inlineStr">
        <is>
          <t>AI/DS, Power BI</t>
        </is>
      </c>
      <c r="D5" t="inlineStr"/>
      <c r="E5" t="inlineStr">
        <is>
          <t>R3, R4, R5, D3, D6, E3</t>
        </is>
      </c>
      <c r="F5" t="inlineStr">
        <is>
          <t>attention + SHAP per prediction (R5); rolling-horizon eval + K-step engine outputs (R4); cross-dataset generalisation write-up (D3); benchmark visuals; 2-page architecture doc (E3, resolves D6); prototype output panels</t>
        </is>
      </c>
    </row>
    <row r="6">
      <c r="A6" t="inlineStr">
        <is>
          <t>Manjari</t>
        </is>
      </c>
      <c r="B6" t="inlineStr">
        <is>
          <t>Pitch + Red-Team (in training)</t>
        </is>
      </c>
      <c r="C6" t="inlineStr">
        <is>
          <t>Reading/writing/analysis; learning offensive testing</t>
        </is>
      </c>
      <c r="D6" t="inlineStr"/>
      <c r="E6" t="inlineStr">
        <is>
          <t>E5 delivery; feeds D3</t>
        </is>
      </c>
      <c r="F6" t="inlineStr">
        <is>
          <t>delivers the 5-slide pitch + judge Q&amp;A; being taught to attack — runs nmap / hping3 / replayed-pcap scenarios against the prototype to produce unseen-attack evidence for D3 (mentored by Harish + Jayakumar); see docs/SIH_TEAM_PLAN.md section 6</t>
        </is>
      </c>
    </row>
    <row r="7">
      <c r="A7" t="inlineStr">
        <is>
          <t>Sujitha</t>
        </is>
      </c>
      <c r="B7" t="inlineStr">
        <is>
          <t>Media &amp; Design (no git)</t>
        </is>
      </c>
      <c r="C7" t="inlineStr">
        <is>
          <t>Canva, PPT, UI/UX</t>
        </is>
      </c>
      <c r="D7" t="inlineStr"/>
      <c r="E7" t="inlineStr">
        <is>
          <t>E4 assets, E5 deck</t>
        </is>
      </c>
      <c r="F7" t="inlineStr">
        <is>
          <t>5-slide deck in Canva (from docs/SLIDES.md); 2-min demo video edit in Canva / CapCut (from docs/DEMO_VIDEO_SCRIPT.md); SOC-UI mockups in Canva/Figma for a dev to implement; diagram polish for the architecture doc. Hands final files to the team — does not touch the repo.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Window</t>
        </is>
      </c>
      <c r="C1" t="inlineStr">
        <is>
          <t>Goal</t>
        </is>
      </c>
      <c r="D1" t="inlineStr">
        <is>
          <t>Owner</t>
        </is>
      </c>
      <c r="E1" t="inlineStr">
        <is>
          <t>Status</t>
        </is>
      </c>
      <c r="F1" t="inlineStr">
        <is>
          <t>Evidence link</t>
        </is>
      </c>
    </row>
    <row r="2">
      <c r="A2" t="inlineStr">
        <is>
          <t>0</t>
        </is>
      </c>
      <c r="B2" t="inlineStr">
        <is>
          <t>Sep 1</t>
        </is>
      </c>
      <c r="C2" t="inlineStr">
        <is>
          <t>Tracker sheet live; PS saved; roles locked; commit + push the WIP; tag v0.3-pre-sih</t>
        </is>
      </c>
      <c r="D2" t="inlineStr">
        <is>
          <t>Kaviya / Harish</t>
        </is>
      </c>
      <c r="E2" t="inlineStr">
        <is>
          <t>Not started</t>
        </is>
      </c>
      <c r="F2" t="inlineStr"/>
    </row>
    <row r="3">
      <c r="A3" t="inlineStr">
        <is>
          <t>1</t>
        </is>
      </c>
      <c r="B3" t="inlineStr">
        <is>
          <t>Sep 1-6</t>
        </is>
      </c>
      <c r="C3" t="inlineStr">
        <is>
          <t>D1 packet/PCAP path trained (not gated) + D2 Recon label; D4 release gate green</t>
        </is>
      </c>
      <c r="D3" t="inlineStr">
        <is>
          <t>Jayakumar (D1/D2) / Harish + Kaviya (D4, dev)</t>
        </is>
      </c>
      <c r="E3" t="inlineStr">
        <is>
          <t>Not started</t>
        </is>
      </c>
      <c r="F3" t="inlineStr"/>
    </row>
    <row r="4">
      <c r="A4" t="inlineStr">
        <is>
          <t>2</t>
        </is>
      </c>
      <c r="B4" t="inlineStr">
        <is>
          <t>Sep 7-11</t>
        </is>
      </c>
      <c r="C4" t="inlineStr">
        <is>
          <t>D3 generalisation write-up; final benchmark (R7); 2-page architecture doc (E3, resolves D6); prototype wired end-to-end</t>
        </is>
      </c>
      <c r="D4" t="inlineStr">
        <is>
          <t>Archana / Jayakumar</t>
        </is>
      </c>
      <c r="E4" t="inlineStr">
        <is>
          <t>Not started</t>
        </is>
      </c>
      <c r="F4" t="inlineStr"/>
    </row>
    <row r="5">
      <c r="A5" t="inlineStr">
        <is>
          <t>3</t>
        </is>
      </c>
      <c r="B5" t="inlineStr">
        <is>
          <t>Sep 12-15</t>
        </is>
      </c>
      <c r="C5" t="inlineStr">
        <is>
          <t>2-min demo video (E4, Sujitha in Canva); 5-slide deck (E5, Sujitha in Canva); docker compose one-command demo on a clean machine; Manjari attack-training run</t>
        </is>
      </c>
      <c r="D5" t="inlineStr">
        <is>
          <t>Sujitha (deck/video) / Kaviya / Manjari</t>
        </is>
      </c>
      <c r="E5" t="inlineStr">
        <is>
          <t>Not started</t>
        </is>
      </c>
      <c r="F5" t="inlineStr"/>
    </row>
    <row r="6">
      <c r="A6" t="inlineStr">
        <is>
          <t>4</t>
        </is>
      </c>
      <c r="B6" t="inlineStr">
        <is>
          <t>Sep 16-18</t>
        </is>
      </c>
      <c r="C6" t="inlineStr">
        <is>
          <t>Buffer + polish; judge Q&amp;A prep; portal submission text (Archana drafts); repo public / Drive link (E1, D5, Harish); pitch dry-run (Manjari)</t>
        </is>
      </c>
      <c r="D6" t="inlineStr">
        <is>
          <t>Harish / Archana / Manjari</t>
        </is>
      </c>
      <c r="E6" t="inlineStr">
        <is>
          <t>Not started</t>
        </is>
      </c>
      <c r="F6" t="inlineStr"/>
    </row>
    <row r="7">
      <c r="A7" t="inlineStr">
        <is>
          <t>Submit</t>
        </is>
      </c>
      <c r="B7" t="inlineStr">
        <is>
          <t>Sep 19</t>
        </is>
      </c>
      <c r="C7" t="inlineStr">
        <is>
          <t>Submit on the SIH portal (1-day buffer before 20 Sep)</t>
        </is>
      </c>
      <c r="D7" t="inlineStr">
        <is>
          <t>Harish</t>
        </is>
      </c>
      <c r="E7" t="inlineStr">
        <is>
          <t>Not started</t>
        </is>
      </c>
      <c r="F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Member</t>
        </is>
      </c>
      <c r="C1" t="inlineStr">
        <is>
          <t>Hours</t>
        </is>
      </c>
      <c r="D1" t="inlineStr">
        <is>
          <t>Done today</t>
        </is>
      </c>
      <c r="E1" t="inlineStr">
        <is>
          <t>Blockers</t>
        </is>
      </c>
      <c r="F1" t="inlineStr">
        <is>
          <t>Plan tomorrow</t>
        </is>
      </c>
      <c r="G1" t="inlineStr">
        <is>
          <t>Commit / PR links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Description</t>
        </is>
      </c>
      <c r="C1" t="inlineStr">
        <is>
          <t>Severity</t>
        </is>
      </c>
      <c r="D1" t="inlineStr">
        <is>
          <t>Owner</t>
        </is>
      </c>
      <c r="E1" t="inlineStr">
        <is>
          <t>Fix plan</t>
        </is>
      </c>
      <c r="F1" t="inlineStr">
        <is>
          <t>Status</t>
        </is>
      </c>
      <c r="G1" t="inlineStr">
        <is>
          <t>Resolved date</t>
        </is>
      </c>
    </row>
    <row r="2">
      <c r="A2" t="inlineStr">
        <is>
          <t>D1</t>
        </is>
      </c>
      <c r="B2" t="inlineStr">
        <is>
          <t>PS calls flow AND packet features 'required'; working model is flow-only; PCAP/live path returns a readiness failure</t>
        </is>
      </c>
      <c r="C2" t="inlineStr">
        <is>
          <t>High</t>
        </is>
      </c>
      <c r="D2" t="inlineStr">
        <is>
          <t>Jayakumar</t>
        </is>
      </c>
      <c r="E2" t="inlineStr">
        <is>
          <t>Wire Scapy/PyShark packet features into a trained fused model on DARPA-98 / CICIoT2023; drop the readiness-failure stub from the demo path</t>
        </is>
      </c>
      <c r="F2" t="inlineStr">
        <is>
          <t>Open</t>
        </is>
      </c>
      <c r="G2" t="inlineStr"/>
    </row>
    <row r="3">
      <c r="A3" t="inlineStr">
        <is>
          <t>D2</t>
        </is>
      </c>
      <c r="B3" t="inlineStr">
        <is>
          <t>PS wants the full 5-stage MITRE map incl. Reconnaissance; CIC-IDS2018 weak labels never surface a Recon class</t>
        </is>
      </c>
      <c r="C3" t="inlineStr">
        <is>
          <t>Medium</t>
        </is>
      </c>
      <c r="D3" t="inlineStr">
        <is>
          <t>Jayakumar</t>
        </is>
      </c>
      <c r="E3" t="inlineStr">
        <is>
          <t>Add a Recon weak-label rule keyed to port-scan signatures on the flow path; verify a Recon window in the demo</t>
        </is>
      </c>
      <c r="F3" t="inlineStr">
        <is>
          <t>Open</t>
        </is>
      </c>
      <c r="G3" t="inlineStr"/>
    </row>
    <row r="4">
      <c r="A4" t="inlineStr">
        <is>
          <t>D3</t>
        </is>
      </c>
      <c r="B4" t="inlineStr">
        <is>
          <t>PS wants generalisation to unseen attacks; CTU-13 cross-dataset test is a loss (LSTM 0.51 &lt; baseline 0.63 macro-F1)</t>
        </is>
      </c>
      <c r="C4" t="inlineStr">
        <is>
          <t>Medium</t>
        </is>
      </c>
      <c r="D4" t="inlineStr">
        <is>
          <t>Archana</t>
        </is>
      </c>
      <c r="E4" t="inlineStr">
        <is>
          <t>Honest domain-shift section: report train-CIC / test-CTU + test-DARPA; add feature-alignment pass; frame remaining gap as scoped future work</t>
        </is>
      </c>
      <c r="F4" t="inlineStr">
        <is>
          <t>Open</t>
        </is>
      </c>
      <c r="G4" t="inlineStr"/>
    </row>
    <row r="5">
      <c r="A5" t="inlineStr">
        <is>
          <t>D4</t>
        </is>
      </c>
      <c r="B5" t="inlineStr">
        <is>
          <t>release_gate.passed = false: scenario-id leakage, per-class recall below threshold, one-step macro/micro below threshold</t>
        </is>
      </c>
      <c r="C5" t="inlineStr">
        <is>
          <t>High</t>
        </is>
      </c>
      <c r="D5" t="inlineStr">
        <is>
          <t>Harish</t>
        </is>
      </c>
      <c r="E5" t="inlineStr">
        <is>
          <t>Leakage-safe chronological-per-source splits; per-class validation-window minimums; class-weighted retrain; target a passing gate; keep the failing report as rigor evidence</t>
        </is>
      </c>
      <c r="F5" t="inlineStr">
        <is>
          <t>Open</t>
        </is>
      </c>
      <c r="G5" t="inlineStr"/>
    </row>
    <row r="6">
      <c r="A6" t="inlineStr">
        <is>
          <t>D5</t>
        </is>
      </c>
      <c r="B6" t="inlineStr">
        <is>
          <t>Repo hygiene: uncommitted WIP + XDR/response slice unstaged -&gt; reproducibility risk for judges</t>
        </is>
      </c>
      <c r="C6" t="inlineStr">
        <is>
          <t>Medium</t>
        </is>
      </c>
      <c r="D6" t="inlineStr">
        <is>
          <t>Harish</t>
        </is>
      </c>
      <c r="E6" t="inlineStr">
        <is>
          <t>Commit + push the WIP, tag a release, make the repo public (or export a clean Drive zip) before submission</t>
        </is>
      </c>
      <c r="F6" t="inlineStr">
        <is>
          <t>Open</t>
        </is>
      </c>
      <c r="G6" t="inlineStr"/>
    </row>
    <row r="7">
      <c r="A7" t="inlineStr">
        <is>
          <t>D6</t>
        </is>
      </c>
      <c r="B7" t="inlineStr">
        <is>
          <t>Two divergent state contracts (78-feat legacy vs 33/79-feat canonical v2); the 2-page doc must tell one story</t>
        </is>
      </c>
      <c r="C7" t="inlineStr">
        <is>
          <t>Low</t>
        </is>
      </c>
      <c r="D7" t="inlineStr">
        <is>
          <t>Archana</t>
        </is>
      </c>
      <c r="E7" t="inlineStr">
        <is>
          <t>Pick the contract that ships, describe only that one in ARCHITECTURE_NOTE.md, move the other to a roadmap line</t>
        </is>
      </c>
      <c r="F7" t="inlineStr">
        <is>
          <t>Open</t>
        </is>
      </c>
      <c r="G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Link</t>
        </is>
      </c>
      <c r="C1" t="inlineStr">
        <is>
          <t>Approach</t>
        </is>
      </c>
      <c r="D1" t="inlineStr">
        <is>
          <t>Maturity</t>
        </is>
      </c>
      <c r="E1" t="inlineStr">
        <is>
          <t>What we do better</t>
        </is>
      </c>
    </row>
    <row r="2">
      <c r="A2" t="inlineStr">
        <is>
          <t>CyberForecaster (piyushkashyap160-spec)</t>
        </is>
      </c>
      <c r="B2" t="inlineStr">
        <is>
          <t>https://github.com/piyushkashyap160-spec/CyberForecaster</t>
        </is>
      </c>
      <c r="C2" t="inlineStr">
        <is>
          <t>Temporal LSTM world model + Temporal GNN + LogReg baseline; claims F1 0.9826 on CSE-CIC-IDS2018</t>
        </is>
      </c>
      <c r="D2" t="inlineStr">
        <is>
          <t>Prototype</t>
        </is>
      </c>
      <c r="E2" t="inlineStr">
        <is>
          <t>Their F1 is single-dataset; we publish cross-dataset generalisation + a release gate + drift detection</t>
        </is>
      </c>
    </row>
    <row r="3">
      <c r="A3" t="inlineStr">
        <is>
          <t>SIH26153-AI-Network-Attack-Forecasting (SabarishR08)</t>
        </is>
      </c>
      <c r="B3" t="inlineStr">
        <is>
          <t>https://github.com/SabarishR08/SIH26153-AI-Network-Attack-Forecasting</t>
        </is>
      </c>
      <c r="C3" t="inlineStr">
        <is>
          <t>traffic -&gt; anomaly detection -&gt; ML forecasting -&gt; kill chain -&gt; Flask dashboard; reuses NTAV</t>
        </is>
      </c>
      <c r="D3" t="inlineStr">
        <is>
          <t>Working prototype (34 commits)</t>
        </is>
      </c>
      <c r="E3" t="inlineStr">
        <is>
          <t>Forecasting bolted onto a 3rd-party detector; ours is one trained world model with a regression head + dual explainability</t>
        </is>
      </c>
    </row>
    <row r="4">
      <c r="A4" t="inlineStr">
        <is>
          <t>AttackForecast (HowSuyash)</t>
        </is>
      </c>
      <c r="B4" t="inlineStr">
        <is>
          <t>https://github.com/HowSuyash/AttackForecast</t>
        </is>
      </c>
      <c r="C4" t="inlineStr">
        <is>
          <t>World model P(S_t+1|S_t) over 60s CTU-13 states; MITRE rollout; offline CPU</t>
        </is>
      </c>
      <c r="D4" t="inlineStr">
        <is>
          <t>Prototype</t>
        </is>
      </c>
      <c r="E4" t="inlineStr">
        <is>
          <t>We have 4 dataset adapters behind one schema + a fuller platform (FastAPI + Next.js + Streamlit + CLI)</t>
        </is>
      </c>
    </row>
    <row r="5">
      <c r="A5" t="inlineStr">
        <is>
          <t>raushankumarsah07 (PS-named repo)</t>
        </is>
      </c>
      <c r="B5" t="inlineStr">
        <is>
          <t>https://github.com/raushankumarsah07/aI-based-network-attack-forecasting-from-network-traffic-data</t>
        </is>
      </c>
      <c r="C5" t="inlineStr">
        <is>
          <t>PyTorch GRU world model, counterfactual what-if rollout, Express/React SOC dashboard, Solidity smart-contract audit trail</t>
        </is>
      </c>
      <c r="D5" t="inlineStr">
        <is>
          <t>Prototype / scaffold</t>
        </is>
      </c>
      <c r="E5" t="inlineStr">
        <is>
          <t>Their blockchain audit trail is real differentiation; our answer is a lighter offline hash-chained prediction log (stretch item)</t>
        </is>
      </c>
    </row>
    <row r="6">
      <c r="A6" t="inlineStr">
        <is>
          <t>Threat-Scope (kunalsrivastava8810)</t>
        </is>
      </c>
      <c r="B6" t="inlineStr">
        <is>
          <t>https://github.com/kunalsrivastava8810/Threat-Scope</t>
        </is>
      </c>
      <c r="C6" t="inlineStr">
        <is>
          <t>R Shiny SOC dashboard unifying CVE + malware + intrusion data with ML prediction</t>
        </is>
      </c>
      <c r="D6" t="inlineStr">
        <is>
          <t>Prototype dashboard</t>
        </is>
      </c>
      <c r="E6" t="inlineStr">
        <is>
          <t>Dashboard-first, model-thin; we are model-first with reproducible training config + benchmark</t>
        </is>
      </c>
    </row>
    <row r="7">
      <c r="A7" t="inlineStr">
        <is>
          <t>Visual Analytics Tool (cyber-laboratory / verpejas)</t>
        </is>
      </c>
      <c r="B7" t="inlineStr">
        <is>
          <t>https://github.com/cyber-laboratory/Visual_Analytics_Tool</t>
        </is>
      </c>
      <c r="C7" t="inlineStr">
        <is>
          <t>DTW alignment of traffic sequences + RNN-based attack forecasting + visual analytics UI (research, predates SIH)</t>
        </is>
      </c>
      <c r="D7" t="inlineStr">
        <is>
          <t>Research tool / paper artifact</t>
        </is>
      </c>
      <c r="E7" t="inlineStr">
        <is>
          <t>Closest reference architecture; our world-model regression head + MITRE stage mapping go beyond it</t>
        </is>
      </c>
    </row>
    <row r="8">
      <c r="A8" t="inlineStr">
        <is>
          <t>KillChainGraph (arXiv 2508.18230)</t>
        </is>
      </c>
      <c r="B8" t="inlineStr">
        <is>
          <t>https://arxiv.org/pdf/2508.18230</t>
        </is>
      </c>
      <c r="C8" t="inlineStr">
        <is>
          <t>Per-kill-chain-phase classifiers with inter-phase dependencies as a directed graph</t>
        </is>
      </c>
      <c r="D8" t="inlineStr">
        <is>
          <t>Preprint + code</t>
        </is>
      </c>
      <c r="E8" t="inlineStr">
        <is>
          <t>Reference for our stage-mapping design; cite, don't compete</t>
        </is>
      </c>
    </row>
    <row r="9">
      <c r="A9" t="inlineStr">
        <is>
          <t>Husak et al. 2015, Computers &amp; Security</t>
        </is>
      </c>
      <c r="B9" t="inlineStr">
        <is>
          <t>https://dl.acm.org/doi/10.1016/j.cose.2015.11.005</t>
        </is>
      </c>
      <c r="C9" t="inlineStr">
        <is>
          <t>Attack-graph + prediction; canonical network attack forecasting paper</t>
        </is>
      </c>
      <c r="D9" t="inlineStr">
        <is>
          <t>Published, widely cited</t>
        </is>
      </c>
      <c r="E9" t="inlineStr">
        <is>
          <t>Foundational citation</t>
        </is>
      </c>
    </row>
    <row r="10">
      <c r="A10" t="inlineStr">
        <is>
          <t>SentinelOne / CyberProof predictive threat intel</t>
        </is>
      </c>
      <c r="B10" t="inlineStr">
        <is>
          <t>https://www.sentinelone.com/cybersecurity-101/threat-intelligence/predictive-threat-intelligence/</t>
        </is>
      </c>
      <c r="C10" t="inlineStr">
        <is>
          <t>Behavioural-signal correlation + predictive risk scoring (commercial)</t>
        </is>
      </c>
      <c r="D10" t="inlineStr">
        <is>
          <t>Shipping products</t>
        </is>
      </c>
      <c r="E10" t="inlineStr">
        <is>
          <t>They correlate signals; they do not learn a network state-transition model or roll it forward K steps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Risk</t>
        </is>
      </c>
      <c r="B1" t="inlineStr">
        <is>
          <t>Impact</t>
        </is>
      </c>
      <c r="C1" t="inlineStr">
        <is>
          <t>Likelihood</t>
        </is>
      </c>
      <c r="D1" t="inlineStr">
        <is>
          <t>Mitigation</t>
        </is>
      </c>
      <c r="E1" t="inlineStr">
        <is>
          <t>Owner</t>
        </is>
      </c>
    </row>
    <row r="2">
      <c r="A2" t="inlineStr">
        <is>
          <t>D1 or D4 slips past Sep 6</t>
        </is>
      </c>
      <c r="B2" t="inlineStr">
        <is>
          <t>High — cascades into every later phase</t>
        </is>
      </c>
      <c r="C2" t="inlineStr">
        <is>
          <t>Medium</t>
        </is>
      </c>
      <c r="D2" t="inlineStr">
        <is>
          <t>Cut the GNN stretch + non-blocking polish first; daily check at standup</t>
        </is>
      </c>
      <c r="E2" t="inlineStr">
        <is>
          <t>Kaviya</t>
        </is>
      </c>
    </row>
    <row r="3">
      <c r="A3" t="inlineStr">
        <is>
          <t>Manjari still learning offensive testing at demo time</t>
        </is>
      </c>
      <c r="B3" t="inlineStr">
        <is>
          <t>Medium — weak D3 attack evidence + shaky Q&amp;A</t>
        </is>
      </c>
      <c r="C3" t="inlineStr">
        <is>
          <t>Medium</t>
        </is>
      </c>
      <c r="D3" t="inlineStr">
        <is>
          <t>Structured attack-training plan in docs/SIH_TEAM_PLAN.md section 6; Harish + Jayakumar pair with her twice before Phase 3; canned scenario scripts committed</t>
        </is>
      </c>
      <c r="E3" t="inlineStr">
        <is>
          <t>Harish</t>
        </is>
      </c>
    </row>
    <row r="4">
      <c r="A4" t="inlineStr">
        <is>
          <t>Release gate can't be made green in time</t>
        </is>
      </c>
      <c r="B4" t="inlineStr">
        <is>
          <t>High — credibility hit under evaluation</t>
        </is>
      </c>
      <c r="C4" t="inlineStr">
        <is>
          <t>Medium</t>
        </is>
      </c>
      <c r="D4" t="inlineStr">
        <is>
          <t>Ship with the honest failing report + a documented remediation plan rather than hiding it</t>
        </is>
      </c>
      <c r="E4" t="inlineStr">
        <is>
          <t>Harish</t>
        </is>
      </c>
    </row>
    <row r="5">
      <c r="A5" t="inlineStr">
        <is>
          <t>Cross-dataset generalisation stays a net loss</t>
        </is>
      </c>
      <c r="B5" t="inlineStr">
        <is>
          <t>Medium — weakens R3 claim</t>
        </is>
      </c>
      <c r="C5" t="inlineStr">
        <is>
          <t>High</t>
        </is>
      </c>
      <c r="D5" t="inlineStr">
        <is>
          <t>Report honestly as domain shift + scoped future work; do not overclaim in the deck</t>
        </is>
      </c>
      <c r="E5" t="inlineStr">
        <is>
          <t>Archana</t>
        </is>
      </c>
    </row>
    <row r="6">
      <c r="A6" t="inlineStr">
        <is>
          <t>Demo video / deck started too late</t>
        </is>
      </c>
      <c r="B6" t="inlineStr">
        <is>
          <t>Medium — rushed E4/E5</t>
        </is>
      </c>
      <c r="C6" t="inlineStr">
        <is>
          <t>Medium</t>
        </is>
      </c>
      <c r="D6" t="inlineStr">
        <is>
          <t>Hard-schedule Phase 3 Sep 12-15; script + slide content already written</t>
        </is>
      </c>
      <c r="E6" t="inlineStr">
        <is>
          <t>Sujitha</t>
        </is>
      </c>
    </row>
    <row r="7">
      <c r="A7" t="inlineStr">
        <is>
          <t>Repo stays private at submission</t>
        </is>
      </c>
      <c r="B7" t="inlineStr">
        <is>
          <t>High — E1 fails outright</t>
        </is>
      </c>
      <c r="C7" t="inlineStr">
        <is>
          <t>Low</t>
        </is>
      </c>
      <c r="D7" t="inlineStr">
        <is>
          <t>Phase 4 checklist item with Harish as admin; decision recorded in Milestones tab</t>
        </is>
      </c>
      <c r="E7" t="inlineStr">
        <is>
          <t>Sujitha</t>
        </is>
      </c>
    </row>
    <row r="8">
      <c r="A8" t="inlineStr">
        <is>
          <t>Two dozen teams ship the same reference design</t>
        </is>
      </c>
      <c r="B8" t="inlineStr">
        <is>
          <t>Medium — blends in</t>
        </is>
      </c>
      <c r="C8" t="inlineStr">
        <is>
          <t>High</t>
        </is>
      </c>
      <c r="D8" t="inlineStr">
        <is>
          <t>Lead the pitch with the MLOps spine + generalisation evidence, not a bigger single-dataset F1</t>
        </is>
      </c>
      <c r="E8" t="inlineStr">
        <is>
          <t>Kaviya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2026-08-31T06:10:32Z</dcterms:created>
  <dcterms:modified xsi:type="dcterms:W3CDTF">2026-08-31T06:10:32Z</dcterms:modified>
</cp:coreProperties>
</file>